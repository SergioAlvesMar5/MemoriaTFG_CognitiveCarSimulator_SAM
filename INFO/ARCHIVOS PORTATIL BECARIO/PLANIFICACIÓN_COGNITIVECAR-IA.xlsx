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ario\Downloads\"/>
    </mc:Choice>
  </mc:AlternateContent>
  <xr:revisionPtr revIDLastSave="0" documentId="13_ncr:1_{B6281815-8085-49EA-B661-019ECB179724}" xr6:coauthVersionLast="47" xr6:coauthVersionMax="47" xr10:uidLastSave="{00000000-0000-0000-0000-000000000000}"/>
  <bookViews>
    <workbookView xWindow="-110" yWindow="-110" windowWidth="19420" windowHeight="10300" xr2:uid="{546DAD79-9810-4CEE-B700-A0D7673EB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D47" i="1"/>
  <c r="B41" i="1"/>
  <c r="D46" i="1"/>
  <c r="D45" i="1"/>
  <c r="D44" i="1"/>
  <c r="D43" i="1"/>
  <c r="B46" i="1"/>
  <c r="B45" i="1"/>
  <c r="B44" i="1"/>
  <c r="B43" i="1"/>
</calcChain>
</file>

<file path=xl/sharedStrings.xml><?xml version="1.0" encoding="utf-8"?>
<sst xmlns="http://schemas.openxmlformats.org/spreadsheetml/2006/main" count="72" uniqueCount="68">
  <si>
    <t>OBJETIVOS</t>
  </si>
  <si>
    <t>FAMILIARIZACIÓN CON LA IA EN UNREAL Y LA ACTUAL DEL PROGRAMA</t>
  </si>
  <si>
    <t>IMPLEMENTACIÓN DE UN SEMAFORO DINÁMICO</t>
  </si>
  <si>
    <t>CREACIÓN DE UN VEHÍCULO CON IA CON RECORRIDO ALEATORIO</t>
  </si>
  <si>
    <t>AJUSTAR EL MAPA PARA INCLUIR ACERAS</t>
  </si>
  <si>
    <t>AÑADIR Y CONFIGURAR PASOS DE CEBRA</t>
  </si>
  <si>
    <t>INTRODUCIR UNA IA DE PEATÓN</t>
  </si>
  <si>
    <t>DURACIÓN (EN DÍAS)</t>
  </si>
  <si>
    <t>IMPLEMENTAR PERSONALIDADES VEHÍCULOS (PERFILAR CON ASPAYM)</t>
  </si>
  <si>
    <t>IMPLEMENTAR PERSONALIDADES VEHÍCULOS (IMPLEMENTAR PERSONALIDAD NORMAL)</t>
  </si>
  <si>
    <t>IMPLEMENTAR PERSONALIDADES VEHÍCULOS (IMPLEMENTAR PERSONALIDAD AGRESIVO)</t>
  </si>
  <si>
    <t>IMPLEMENTAR PERSONALIDADES VEHÍCULOS (IMPLEMENTAR PERSONALIDAD INSEGURO)</t>
  </si>
  <si>
    <t>IMPLEMENTAR PERSONALIDADES IA DEL PEATÓN (COMPROBAR CON ASPAYM)</t>
  </si>
  <si>
    <t>IMPLEMENTAR PERSONALIDADES IA DEL PEATÓN (PEATÓN NORMAL)</t>
  </si>
  <si>
    <t>IMPLEMENTAR PERSONALIDADES IA DEL PEATÓN (NO RESPETA NORMAS)</t>
  </si>
  <si>
    <t>JORNADAS HASTA NAVIDAD:</t>
  </si>
  <si>
    <t>JORNADAS HASTA CARNAVAL:</t>
  </si>
  <si>
    <t>JORNADAS HASTA SEMANA SANTA:</t>
  </si>
  <si>
    <t>JORANDAS HASTA SAN JUAN:</t>
  </si>
  <si>
    <t>TOTAL DE JORNADAS PREVISTAS:</t>
  </si>
  <si>
    <t>INTRODUCIR UNA IA DE BICICLETA</t>
  </si>
  <si>
    <t>AJUSTAR PARA QUE SEA CONFIGURABLE EL NÚMERO (CREACIÓN DE PELOTONES)</t>
  </si>
  <si>
    <t>IMPLEMENTAR COMPORTAMIENTO IA BICICLETA (UBICACIÓN EN EL CARRIL)</t>
  </si>
  <si>
    <t>IMPLEMENTAR COMPORTAMIENTO IA BICICLETA (EN LINEA)</t>
  </si>
  <si>
    <t>IMPLEMENTAR COMPORTAMIENTO IA BICICLETA (PARALELO)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</si>
  <si>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</si>
  <si>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</si>
  <si>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</si>
  <si>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</si>
  <si>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</si>
  <si>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</si>
  <si>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</si>
  <si>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</si>
  <si>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</si>
  <si>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</si>
  <si>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</si>
  <si>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</si>
  <si>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</si>
  <si>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</si>
  <si>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</si>
  <si>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AJUSTAR LA IA DEL VEHÍCULO PARA QUE OBEDEZCAN LAS NORMAS DE CIRCULACIÓN  (SEMÁFOROS)</t>
  </si>
  <si>
    <t>AJUSTAR LA IA DEL VEHÍCULO PARA QUE OBEDEZCAN LAS NORMAS DE CIRCULACIÓN  (STOPS)</t>
  </si>
  <si>
    <t>AJUSTAR LA IA DEL VEHÍCULO PARA QUE OBEDEZCAN LAS NORMAS DE CIRCULACIÓN  (CEDAS)</t>
  </si>
  <si>
    <t>AJUSTAR LA IA DEL PEATÓN PARA QUE OBEDEZCA LAS NORMAS DE CIRCULACIÓN (SEMÁFOROS)</t>
  </si>
  <si>
    <t>AJUSTAR LA IA DEL PEATÓN PARA QUE OBEDEZCA LAS NORMAS DE CIRCULACIÓN (PASOS DE CEBRA)</t>
  </si>
  <si>
    <t>AJUSTAR LA IA DEL VEHÍCULO CON LOS PEATONES (PASOS DE CEBRA)</t>
  </si>
  <si>
    <t>AJUSTAR LA IA DE LA BICICLETA PARA QUE OBEDEZCAN LAS NORMAS DE CIRCULACIÓN (SEMÁFOROS)</t>
  </si>
  <si>
    <t>AJUSTAR LA IA DE LA BICICLETA PARA QUE OBEDEZCAN LAS NORMAS DE CIRCULACIÓN (CEDAS)</t>
  </si>
  <si>
    <t>AJUSTAR LA IA DE LA BICICLETA PARA QUE OBEDEZCAN LAS NORMAS DE CIRCULACIÓN (PASOS DE CEBRA)</t>
  </si>
  <si>
    <t>AJUSTAR LA IA DE LA BICICLETA PARA QUE OBEDEZCAN LAS NORMAS DE CIRCULACIÓN (STOP)</t>
  </si>
  <si>
    <t>SPRINTS:</t>
  </si>
  <si>
    <t>AJUSTAR LA IA DEL VEHÍCULO CON LOS PEATONES (CALZADA)</t>
  </si>
  <si>
    <t>AJUSTAR COMPATIBILIDAD DE LAS TRES IA</t>
  </si>
  <si>
    <t>SPRINTS (PERIODOS DE DOS JUEVES)</t>
  </si>
  <si>
    <t>FECHA DE INICIO</t>
  </si>
  <si>
    <t>FECHA DE FINALIZACIÓN</t>
  </si>
  <si>
    <t>INTRODUCIR UNA IA DE ANIMALES</t>
  </si>
  <si>
    <t>AJUSTAR LA IA DE LOS ANIMALES PARA QUE VAYAN EN GRUPO O SOLOS</t>
  </si>
  <si>
    <t>AJUSTAR EL RESTO DE IAs CON LA IA ANIMAL</t>
  </si>
  <si>
    <t>INTRODUCIR SEÑALES VERTICALES</t>
  </si>
  <si>
    <t>16/01/2026 (FIN DE LAS PRÁCTICAS EXTERNAS)</t>
  </si>
  <si>
    <t>JORNADAS HASTA DEPÓSITO TFG JULIO:</t>
  </si>
  <si>
    <t>SPRINT 16</t>
  </si>
  <si>
    <t>OPTIMIZACIÓN DEL PROGRAMA (RENDIMIENTO, COMPORTAMIENTO, SONIDO, ETC…)</t>
  </si>
  <si>
    <t>ELABORACIÓN DE LA MEMORIA DEL PROYECTO</t>
  </si>
  <si>
    <t>IMPLEMENTACIÓN DE NUEVOS ASSETS A LAS DIFERENTES IAs AUMENTANDO DIVERSIDAD Y REALISMO</t>
  </si>
  <si>
    <t>09/07/2026 (DEPÓSITO DE TFG)</t>
  </si>
  <si>
    <t>FECHAS SEÑALADAS COMO FESTIVOS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</si>
</sst>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A53D-8F81-4847-B0CC-A185F36A5DA7}">
  <dimension ref="A1:H47"/>
  <sheetViews>
    <sheetView tabSelected="1" zoomScaleNormal="100" workbookViewId="0">
      <selection activeCell="B20" sqref="B20"/>
    </sheetView>
  </sheetViews>
  <sheetFormatPr defaultRowHeight="14.5" x14ac:dyDescent="0.35"/>
  <cols>
    <col min="1" max="1" width="88.54296875" style="2" bestFit="1" customWidth="1"/>
    <col min="2" max="2" width="18.1796875" style="1" bestFit="1" customWidth="1"/>
    <col min="3" max="3" width="31.36328125" style="1" bestFit="1" customWidth="1"/>
    <col min="4" max="4" width="14.81640625" style="1" bestFit="1" customWidth="1"/>
    <col min="5" max="5" width="39.453125" style="1" bestFit="1" customWidth="1"/>
    <col min="6" max="7" width="3.453125" style="2" customWidth="1"/>
    <col min="8" max="8" width="32" style="1" bestFit="1" customWidth="1"/>
    <col min="9" max="16384" width="8.7265625" style="2"/>
  </cols>
  <sheetData>
    <row r="1" spans="1:8" x14ac:dyDescent="0.35">
      <c r="A1" s="2" t="s">
        <v>0</v>
      </c>
      <c r="B1" s="1" t="s">
        <v>7</v>
      </c>
      <c r="C1" s="1" t="s">
        <v>53</v>
      </c>
      <c r="D1" s="1" t="s">
        <v>54</v>
      </c>
      <c r="E1" s="1" t="s">
        <v>55</v>
      </c>
      <c r="H1" s="1" t="s">
        <v>67</v>
      </c>
    </row>
    <row r="2" spans="1:8" x14ac:dyDescent="0.35">
      <c r="A2" s="2" t="s">
        <v>1</v>
      </c>
      <c r="B2" s="1">
        <v>3</v>
      </c>
      <c r="C2" s="3" t="s">
        <v>25</v>
      </c>
      <c r="D2" s="4">
        <v>45988</v>
      </c>
      <c r="E2" s="4">
        <v>46002</v>
      </c>
      <c r="H2" s="5">
        <v>45999</v>
      </c>
    </row>
    <row r="3" spans="1:8" x14ac:dyDescent="0.35">
      <c r="A3" s="2" t="s">
        <v>2</v>
      </c>
      <c r="B3" s="1">
        <v>3</v>
      </c>
      <c r="C3" s="3"/>
      <c r="D3" s="3"/>
      <c r="E3" s="4"/>
      <c r="H3" s="5">
        <v>46016</v>
      </c>
    </row>
    <row r="4" spans="1:8" x14ac:dyDescent="0.35">
      <c r="A4" s="2" t="s">
        <v>59</v>
      </c>
      <c r="B4" s="1">
        <v>2</v>
      </c>
      <c r="C4" s="3"/>
      <c r="D4" s="3"/>
      <c r="E4" s="4"/>
      <c r="H4" s="5">
        <v>46023</v>
      </c>
    </row>
    <row r="5" spans="1:8" x14ac:dyDescent="0.35">
      <c r="A5" s="2" t="s">
        <v>3</v>
      </c>
      <c r="B5" s="1">
        <v>5</v>
      </c>
      <c r="C5" s="3" t="s">
        <v>26</v>
      </c>
      <c r="D5" s="4">
        <v>46002</v>
      </c>
      <c r="E5" s="4">
        <v>46016</v>
      </c>
      <c r="H5" s="5">
        <v>46028</v>
      </c>
    </row>
    <row r="6" spans="1:8" x14ac:dyDescent="0.35">
      <c r="A6" s="2" t="s">
        <v>40</v>
      </c>
      <c r="B6" s="1">
        <v>3</v>
      </c>
      <c r="C6" s="3"/>
      <c r="D6" s="3"/>
      <c r="E6" s="4"/>
      <c r="H6" s="5">
        <v>46069</v>
      </c>
    </row>
    <row r="7" spans="1:8" x14ac:dyDescent="0.35">
      <c r="A7" s="2" t="s">
        <v>42</v>
      </c>
      <c r="B7" s="1">
        <v>2</v>
      </c>
      <c r="C7" s="3" t="s">
        <v>27</v>
      </c>
      <c r="D7" s="4">
        <v>46016</v>
      </c>
      <c r="E7" s="4">
        <v>46030</v>
      </c>
      <c r="H7" s="5">
        <v>46070</v>
      </c>
    </row>
    <row r="8" spans="1:8" x14ac:dyDescent="0.35">
      <c r="A8" s="2" t="s">
        <v>41</v>
      </c>
      <c r="B8" s="1">
        <v>2</v>
      </c>
      <c r="C8" s="3"/>
      <c r="D8" s="4"/>
      <c r="E8" s="4"/>
      <c r="H8" s="5">
        <v>46071</v>
      </c>
    </row>
    <row r="9" spans="1:8" x14ac:dyDescent="0.35">
      <c r="A9" s="2" t="s">
        <v>8</v>
      </c>
      <c r="B9" s="1">
        <v>2</v>
      </c>
      <c r="C9" s="3"/>
      <c r="D9" s="4"/>
      <c r="E9" s="4"/>
      <c r="H9" s="5">
        <v>46111</v>
      </c>
    </row>
    <row r="10" spans="1:8" x14ac:dyDescent="0.35">
      <c r="A10" s="2" t="s">
        <v>9</v>
      </c>
      <c r="B10" s="1">
        <v>2</v>
      </c>
      <c r="C10" s="3"/>
      <c r="D10" s="4"/>
      <c r="E10" s="4"/>
      <c r="H10" s="5">
        <v>46112</v>
      </c>
    </row>
    <row r="11" spans="1:8" x14ac:dyDescent="0.35">
      <c r="A11" s="2" t="s">
        <v>10</v>
      </c>
      <c r="B11" s="1">
        <v>3</v>
      </c>
      <c r="C11" s="3" t="s">
        <v>28</v>
      </c>
      <c r="D11" s="4">
        <v>46030</v>
      </c>
      <c r="E11" s="4" t="s">
        <v>60</v>
      </c>
      <c r="H11" s="5">
        <v>46113</v>
      </c>
    </row>
    <row r="12" spans="1:8" x14ac:dyDescent="0.35">
      <c r="A12" s="2" t="s">
        <v>11</v>
      </c>
      <c r="B12" s="1">
        <v>2</v>
      </c>
      <c r="C12" s="3"/>
      <c r="D12" s="4"/>
      <c r="E12" s="4"/>
      <c r="H12" s="5">
        <v>46114</v>
      </c>
    </row>
    <row r="13" spans="1:8" x14ac:dyDescent="0.35">
      <c r="A13" s="2" t="s">
        <v>4</v>
      </c>
      <c r="B13" s="1">
        <v>2</v>
      </c>
      <c r="C13" s="3"/>
      <c r="D13" s="4"/>
      <c r="E13" s="4"/>
      <c r="H13" s="5">
        <v>46118</v>
      </c>
    </row>
    <row r="14" spans="1:8" x14ac:dyDescent="0.35">
      <c r="A14" s="2" t="s">
        <v>5</v>
      </c>
      <c r="B14" s="1">
        <v>3</v>
      </c>
      <c r="C14" s="3" t="s">
        <v>29</v>
      </c>
      <c r="D14" s="4">
        <v>46038</v>
      </c>
      <c r="E14" s="4">
        <v>46058</v>
      </c>
      <c r="H14" s="5">
        <v>46119</v>
      </c>
    </row>
    <row r="15" spans="1:8" x14ac:dyDescent="0.35">
      <c r="A15" s="2" t="s">
        <v>6</v>
      </c>
      <c r="B15" s="1">
        <v>5</v>
      </c>
      <c r="C15" s="3"/>
      <c r="D15" s="4"/>
      <c r="E15" s="4"/>
      <c r="F15" s="6"/>
      <c r="H15" s="5">
        <v>46135</v>
      </c>
    </row>
    <row r="16" spans="1:8" x14ac:dyDescent="0.35">
      <c r="A16" s="2" t="s">
        <v>44</v>
      </c>
      <c r="B16" s="1">
        <v>4</v>
      </c>
      <c r="C16" s="3" t="s">
        <v>30</v>
      </c>
      <c r="D16" s="4">
        <v>46058</v>
      </c>
      <c r="E16" s="4">
        <v>46072</v>
      </c>
      <c r="F16" s="6"/>
      <c r="H16" s="5">
        <v>46197</v>
      </c>
    </row>
    <row r="17" spans="1:6" x14ac:dyDescent="0.35">
      <c r="A17" s="2" t="s">
        <v>43</v>
      </c>
      <c r="B17" s="1">
        <v>3</v>
      </c>
      <c r="C17" s="3"/>
      <c r="D17" s="4"/>
      <c r="E17" s="4"/>
      <c r="F17" s="6"/>
    </row>
    <row r="18" spans="1:6" x14ac:dyDescent="0.35">
      <c r="A18" s="2" t="s">
        <v>45</v>
      </c>
      <c r="B18" s="1">
        <v>5</v>
      </c>
      <c r="C18" s="3" t="s">
        <v>31</v>
      </c>
      <c r="D18" s="4">
        <v>46072</v>
      </c>
      <c r="E18" s="4">
        <v>46086</v>
      </c>
    </row>
    <row r="19" spans="1:6" x14ac:dyDescent="0.35">
      <c r="A19" s="2" t="s">
        <v>51</v>
      </c>
      <c r="B19" s="1">
        <v>3</v>
      </c>
      <c r="C19" s="3"/>
      <c r="D19" s="4"/>
      <c r="E19" s="4"/>
    </row>
    <row r="20" spans="1:6" x14ac:dyDescent="0.35">
      <c r="A20" s="2" t="s">
        <v>12</v>
      </c>
      <c r="B20" s="1">
        <v>1</v>
      </c>
      <c r="C20" s="3" t="s">
        <v>32</v>
      </c>
      <c r="D20" s="4">
        <v>46086</v>
      </c>
      <c r="E20" s="4">
        <v>46100</v>
      </c>
    </row>
    <row r="21" spans="1:6" x14ac:dyDescent="0.35">
      <c r="A21" s="2" t="s">
        <v>13</v>
      </c>
      <c r="B21" s="1">
        <v>3</v>
      </c>
      <c r="C21" s="3"/>
      <c r="D21" s="4"/>
      <c r="E21" s="4"/>
    </row>
    <row r="22" spans="1:6" x14ac:dyDescent="0.35">
      <c r="A22" s="2" t="s">
        <v>14</v>
      </c>
      <c r="B22" s="1">
        <v>3</v>
      </c>
      <c r="C22" s="3"/>
      <c r="D22" s="4"/>
      <c r="E22" s="4"/>
    </row>
    <row r="23" spans="1:6" x14ac:dyDescent="0.35">
      <c r="A23" s="2" t="s">
        <v>20</v>
      </c>
      <c r="B23" s="1">
        <v>5</v>
      </c>
      <c r="C23" s="3" t="s">
        <v>33</v>
      </c>
      <c r="D23" s="4">
        <v>46100</v>
      </c>
      <c r="E23" s="4">
        <v>46114</v>
      </c>
    </row>
    <row r="24" spans="1:6" x14ac:dyDescent="0.35">
      <c r="A24" s="2" t="s">
        <v>46</v>
      </c>
      <c r="B24" s="1">
        <v>2</v>
      </c>
      <c r="C24" s="3"/>
      <c r="D24" s="4"/>
      <c r="E24" s="4"/>
    </row>
    <row r="25" spans="1:6" x14ac:dyDescent="0.35">
      <c r="A25" s="2" t="s">
        <v>49</v>
      </c>
      <c r="B25" s="1">
        <v>2</v>
      </c>
      <c r="C25" s="3" t="s">
        <v>34</v>
      </c>
      <c r="D25" s="4">
        <v>46114</v>
      </c>
      <c r="E25" s="4">
        <v>46128</v>
      </c>
    </row>
    <row r="26" spans="1:6" x14ac:dyDescent="0.35">
      <c r="A26" s="2" t="s">
        <v>48</v>
      </c>
      <c r="B26" s="1">
        <v>2</v>
      </c>
      <c r="C26" s="3"/>
      <c r="D26" s="4"/>
      <c r="E26" s="4"/>
    </row>
    <row r="27" spans="1:6" x14ac:dyDescent="0.35">
      <c r="A27" s="2" t="s">
        <v>47</v>
      </c>
      <c r="B27" s="1">
        <v>2</v>
      </c>
      <c r="C27" s="3"/>
      <c r="D27" s="4"/>
      <c r="E27" s="4"/>
    </row>
    <row r="28" spans="1:6" x14ac:dyDescent="0.35">
      <c r="A28" s="2" t="s">
        <v>21</v>
      </c>
      <c r="B28" s="1">
        <v>3</v>
      </c>
      <c r="C28" s="3" t="s">
        <v>35</v>
      </c>
      <c r="D28" s="4">
        <v>46128</v>
      </c>
      <c r="E28" s="4">
        <v>46142</v>
      </c>
    </row>
    <row r="29" spans="1:6" x14ac:dyDescent="0.35">
      <c r="A29" s="2" t="s">
        <v>22</v>
      </c>
      <c r="B29" s="1">
        <v>3</v>
      </c>
      <c r="C29" s="3"/>
      <c r="D29" s="4"/>
      <c r="E29" s="4"/>
    </row>
    <row r="30" spans="1:6" x14ac:dyDescent="0.35">
      <c r="A30" s="2" t="s">
        <v>23</v>
      </c>
      <c r="B30" s="1">
        <v>2</v>
      </c>
      <c r="C30" s="3"/>
      <c r="D30" s="4"/>
      <c r="E30" s="4"/>
    </row>
    <row r="31" spans="1:6" x14ac:dyDescent="0.35">
      <c r="A31" s="2" t="s">
        <v>24</v>
      </c>
      <c r="B31" s="1">
        <v>2</v>
      </c>
      <c r="C31" s="3" t="s">
        <v>36</v>
      </c>
      <c r="D31" s="4">
        <v>46142</v>
      </c>
      <c r="E31" s="4">
        <v>46156</v>
      </c>
    </row>
    <row r="32" spans="1:6" x14ac:dyDescent="0.35">
      <c r="A32" s="2" t="s">
        <v>52</v>
      </c>
      <c r="B32" s="1">
        <v>5</v>
      </c>
      <c r="C32" s="3"/>
      <c r="D32" s="4"/>
      <c r="E32" s="4"/>
    </row>
    <row r="33" spans="1:5" x14ac:dyDescent="0.35">
      <c r="A33" s="2" t="s">
        <v>56</v>
      </c>
      <c r="B33" s="1">
        <v>3</v>
      </c>
      <c r="C33" s="3" t="s">
        <v>37</v>
      </c>
      <c r="D33" s="4">
        <v>46156</v>
      </c>
      <c r="E33" s="4">
        <v>46170</v>
      </c>
    </row>
    <row r="34" spans="1:5" x14ac:dyDescent="0.35">
      <c r="A34" s="2" t="s">
        <v>57</v>
      </c>
      <c r="B34" s="1">
        <v>2</v>
      </c>
      <c r="C34" s="3"/>
      <c r="D34" s="4"/>
      <c r="E34" s="4"/>
    </row>
    <row r="35" spans="1:5" x14ac:dyDescent="0.35">
      <c r="A35" s="2" t="s">
        <v>58</v>
      </c>
      <c r="B35" s="1">
        <v>3</v>
      </c>
      <c r="C35" s="3"/>
      <c r="D35" s="4"/>
      <c r="E35" s="4"/>
    </row>
    <row r="36" spans="1:5" x14ac:dyDescent="0.35">
      <c r="A36" s="2" t="s">
        <v>65</v>
      </c>
      <c r="B36" s="1">
        <v>4</v>
      </c>
      <c r="C36" s="1" t="s">
        <v>38</v>
      </c>
      <c r="D36" s="5">
        <v>46170</v>
      </c>
      <c r="E36" s="5">
        <v>46184</v>
      </c>
    </row>
    <row r="37" spans="1:5" x14ac:dyDescent="0.35">
      <c r="A37" s="7" t="s">
        <v>63</v>
      </c>
      <c r="B37" s="1">
        <v>6</v>
      </c>
      <c r="C37" s="1" t="s">
        <v>39</v>
      </c>
      <c r="D37" s="5">
        <v>46184</v>
      </c>
      <c r="E37" s="5">
        <v>46198</v>
      </c>
    </row>
    <row r="38" spans="1:5" x14ac:dyDescent="0.35">
      <c r="A38" s="7" t="s">
        <v>64</v>
      </c>
      <c r="B38" s="1">
        <v>7</v>
      </c>
      <c r="C38" s="1" t="s">
        <v>62</v>
      </c>
      <c r="D38" s="5">
        <v>46198</v>
      </c>
      <c r="E38" s="5" t="s">
        <v>66</v>
      </c>
    </row>
    <row r="39" spans="1:5" x14ac:dyDescent="0.35">
      <c r="D39" s="5"/>
    </row>
    <row r="40" spans="1:5" x14ac:dyDescent="0.35">
      <c r="D40" s="5"/>
      <c r="E40" s="5"/>
    </row>
    <row r="41" spans="1:5" x14ac:dyDescent="0.35">
      <c r="A41" s="2" t="s">
        <v>19</v>
      </c>
      <c r="B41" s="1">
        <f>SUM(B2:B38)</f>
        <v>114</v>
      </c>
    </row>
    <row r="43" spans="1:5" x14ac:dyDescent="0.35">
      <c r="A43" s="2" t="s">
        <v>15</v>
      </c>
      <c r="B43" s="1">
        <f ca="1">NETWORKDAYS.INTL(TODAY(), DATE(2025, 12, 25), "0000111", H2:H16)</f>
        <v>15</v>
      </c>
      <c r="C43" s="1" t="s">
        <v>50</v>
      </c>
      <c r="D43" s="1">
        <f>ROUNDUP((DATE(2025,12,25) - DATE(2025,11,27))/14, 0)</f>
        <v>2</v>
      </c>
    </row>
    <row r="44" spans="1:5" x14ac:dyDescent="0.35">
      <c r="A44" s="2" t="s">
        <v>16</v>
      </c>
      <c r="B44" s="1">
        <f ca="1">NETWORKDAYS.INTL(TODAY(), DATE(2026, 2, 17), "0000111", H2:H16)</f>
        <v>41</v>
      </c>
      <c r="C44" s="1" t="s">
        <v>50</v>
      </c>
      <c r="D44" s="1">
        <f>ROUNDUP((DATE(2026,2,17) - DATE(2025,11,27))/14, 0)</f>
        <v>6</v>
      </c>
    </row>
    <row r="45" spans="1:5" x14ac:dyDescent="0.35">
      <c r="A45" s="2" t="s">
        <v>17</v>
      </c>
      <c r="B45" s="1">
        <f ca="1">NETWORKDAYS.INTL(TODAY(), DATE(2026, 4, 2), "0000111", H2:H16)</f>
        <v>62</v>
      </c>
      <c r="C45" s="1" t="s">
        <v>50</v>
      </c>
      <c r="D45" s="1">
        <f>ROUNDUP((DATE(2026,4,2) - DATE(2025,11,27))/14, 0)</f>
        <v>9</v>
      </c>
    </row>
    <row r="46" spans="1:5" x14ac:dyDescent="0.35">
      <c r="A46" s="2" t="s">
        <v>18</v>
      </c>
      <c r="B46" s="1">
        <f ca="1">NETWORKDAYS.INTL(TODAY(), DATE(2026, 6, 24), "0000111", H2:H16)</f>
        <v>105</v>
      </c>
      <c r="C46" s="1" t="s">
        <v>50</v>
      </c>
      <c r="D46" s="1">
        <f>ROUNDUP((DATE(2026,6,24) - DATE(2025,11,27))/14, 0)</f>
        <v>15</v>
      </c>
    </row>
    <row r="47" spans="1:5" x14ac:dyDescent="0.35">
      <c r="A47" s="2" t="s">
        <v>61</v>
      </c>
      <c r="B47" s="1">
        <f ca="1">NETWORKDAYS.INTL(TODAY(), DATE(2026, 7, 9), "0000111", H2:H16)</f>
        <v>114</v>
      </c>
      <c r="C47" s="1" t="s">
        <v>50</v>
      </c>
      <c r="D47" s="1">
        <f>ROUNDUP((DATE(2026,7,9) - DATE(2025,11,27))/14, 0)</f>
        <v>16</v>
      </c>
    </row>
  </sheetData>
  <mergeCells count="39">
    <mergeCell ref="E16:E17"/>
    <mergeCell ref="E18:E19"/>
    <mergeCell ref="E20:E22"/>
    <mergeCell ref="E23:E24"/>
    <mergeCell ref="E25:E27"/>
    <mergeCell ref="E33:E35"/>
    <mergeCell ref="E31:E32"/>
    <mergeCell ref="E28:E30"/>
    <mergeCell ref="E2:E4"/>
    <mergeCell ref="E5:E6"/>
    <mergeCell ref="E7:E10"/>
    <mergeCell ref="E11:E13"/>
    <mergeCell ref="E14:E15"/>
    <mergeCell ref="D25:D27"/>
    <mergeCell ref="D28:D30"/>
    <mergeCell ref="D31:D32"/>
    <mergeCell ref="D33:D35"/>
    <mergeCell ref="D23:D24"/>
    <mergeCell ref="C33:C35"/>
    <mergeCell ref="D2:D4"/>
    <mergeCell ref="D5:D6"/>
    <mergeCell ref="D7:D10"/>
    <mergeCell ref="D11:D13"/>
    <mergeCell ref="D14:D15"/>
    <mergeCell ref="D16:D17"/>
    <mergeCell ref="D18:D19"/>
    <mergeCell ref="D20:D22"/>
    <mergeCell ref="C23:C24"/>
    <mergeCell ref="C25:C27"/>
    <mergeCell ref="C28:C30"/>
    <mergeCell ref="C31:C32"/>
    <mergeCell ref="C18:C19"/>
    <mergeCell ref="C20:C22"/>
    <mergeCell ref="C11:C13"/>
    <mergeCell ref="C14:C15"/>
    <mergeCell ref="C16:C17"/>
    <mergeCell ref="C2:C4"/>
    <mergeCell ref="C5:C6"/>
    <mergeCell ref="C7:C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Becario</dc:creator>
  <cp:lastModifiedBy>Becario</cp:lastModifiedBy>
  <dcterms:created xsi:type="dcterms:W3CDTF">2025-11-26T08:55:05Z</dcterms:created>
  <dcterms:modified xsi:type="dcterms:W3CDTF">2025-11-27T11:10:27Z</dcterms:modified>
</cp:coreProperties>
</file>